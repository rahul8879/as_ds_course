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nd 1" sheetId="1" r:id="rId1"/>
  </sheets>
  <calcPr calcId="124519" fullCalcOnLoad="1"/>
</workbook>
</file>

<file path=xl/sharedStrings.xml><?xml version="1.0" encoding="utf-8"?>
<sst xmlns="http://schemas.openxmlformats.org/spreadsheetml/2006/main" count="20" uniqueCount="11">
  <si>
    <t>ID</t>
  </si>
  <si>
    <t>Credit_Score</t>
  </si>
  <si>
    <t>Income_k</t>
  </si>
  <si>
    <t>Loan_Status</t>
  </si>
  <si>
    <t>Initial_Weight</t>
  </si>
  <si>
    <t>Pred_Round1</t>
  </si>
  <si>
    <t>Is_Incorrect</t>
  </si>
  <si>
    <t>Weight_Raw</t>
  </si>
  <si>
    <t>Weight_Norm</t>
  </si>
  <si>
    <t>Total Error</t>
  </si>
  <si>
    <t>Alpha (Say)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</si>
</sst>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5.7109375" customWidth="1"/>
    <col min="2" max="4" width="12.7109375" customWidth="1"/>
    <col min="5" max="9" width="15.7109375" customWidth="1"/>
    <col min="11" max="12" width="15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>
      <c r="A2">
        <v>1</v>
      </c>
      <c r="B2">
        <v>650</v>
      </c>
      <c r="C2">
        <v>50</v>
      </c>
      <c r="D2">
        <v>0</v>
      </c>
      <c r="E2">
        <f>1/COUNT($A$2:$A$11)</f>
        <v>0</v>
      </c>
      <c r="F2">
        <f>IF(B2&gt;600, 1, 0)</f>
        <v>0</v>
      </c>
      <c r="G2">
        <f>IF(F2&lt;&gt;D2, 1, 0)</f>
        <v>0</v>
      </c>
      <c r="H2">
        <f>E2*EXP(IF(G2=1, $L$3, -$L$3))</f>
        <v>0</v>
      </c>
      <c r="I2">
        <f>H2/SUM($H$2:$H$11)</f>
        <v>0</v>
      </c>
      <c r="K2" s="1" t="s">
        <v>9</v>
      </c>
      <c r="L2">
        <f>SUMPRODUCT(G2:G11, E2:E11)</f>
        <v>0</v>
      </c>
    </row>
    <row r="3" spans="1:12">
      <c r="A3">
        <v>2</v>
      </c>
      <c r="B3">
        <v>800</v>
      </c>
      <c r="C3">
        <v>40</v>
      </c>
      <c r="D3">
        <v>1</v>
      </c>
      <c r="E3">
        <f>1/COUNT($A$2:$A$11)</f>
        <v>0</v>
      </c>
      <c r="F3">
        <f>IF(B3&gt;600, 1, 0)</f>
        <v>0</v>
      </c>
      <c r="G3">
        <f>IF(F3&lt;&gt;D3, 1, 0)</f>
        <v>0</v>
      </c>
      <c r="H3">
        <f>E3*EXP(IF(G3=1, $L$3, -$L$3))</f>
        <v>0</v>
      </c>
      <c r="I3">
        <f>H3/SUM($H$2:$H$11)</f>
        <v>0</v>
      </c>
      <c r="K3" s="1" t="s">
        <v>10</v>
      </c>
      <c r="L3">
        <f>0.5*LN((1-L2)/L2)</f>
        <v>0</v>
      </c>
    </row>
    <row r="4" spans="1:12">
      <c r="A4">
        <v>3</v>
      </c>
      <c r="B4">
        <v>750</v>
      </c>
      <c r="C4">
        <v>80</v>
      </c>
      <c r="D4">
        <v>1</v>
      </c>
      <c r="E4">
        <f>1/COUNT($A$2:$A$11)</f>
        <v>0</v>
      </c>
      <c r="F4">
        <f>IF(B4&gt;600, 1, 0)</f>
        <v>0</v>
      </c>
      <c r="G4">
        <f>IF(F4&lt;&gt;D4, 1, 0)</f>
        <v>0</v>
      </c>
      <c r="H4">
        <f>E4*EXP(IF(G4=1, $L$3, -$L$3))</f>
        <v>0</v>
      </c>
      <c r="I4">
        <f>H4/SUM($H$2:$H$11)</f>
        <v>0</v>
      </c>
    </row>
    <row r="5" spans="1:12">
      <c r="A5">
        <v>4</v>
      </c>
      <c r="B5">
        <v>550</v>
      </c>
      <c r="C5">
        <v>90</v>
      </c>
      <c r="D5">
        <v>0</v>
      </c>
      <c r="E5">
        <f>1/COUNT($A$2:$A$11)</f>
        <v>0</v>
      </c>
      <c r="F5">
        <f>IF(B5&gt;600, 1, 0)</f>
        <v>0</v>
      </c>
      <c r="G5">
        <f>IF(F5&lt;&gt;D5, 1, 0)</f>
        <v>0</v>
      </c>
      <c r="H5">
        <f>E5*EXP(IF(G5=1, $L$3, -$L$3))</f>
        <v>0</v>
      </c>
      <c r="I5">
        <f>H5/SUM($H$2:$H$11)</f>
        <v>0</v>
      </c>
    </row>
    <row r="6" spans="1:12">
      <c r="A6">
        <v>5</v>
      </c>
      <c r="B6">
        <v>580</v>
      </c>
      <c r="C6">
        <v>120</v>
      </c>
      <c r="D6">
        <v>1</v>
      </c>
      <c r="E6">
        <f>1/COUNT($A$2:$A$11)</f>
        <v>0</v>
      </c>
      <c r="F6">
        <f>IF(B6&gt;600, 1, 0)</f>
        <v>0</v>
      </c>
      <c r="G6">
        <f>IF(F6&lt;&gt;D6, 1, 0)</f>
        <v>0</v>
      </c>
      <c r="H6">
        <f>E6*EXP(IF(G6=1, $L$3, -$L$3))</f>
        <v>0</v>
      </c>
      <c r="I6">
        <f>H6/SUM($H$2:$H$11)</f>
        <v>0</v>
      </c>
    </row>
    <row r="7" spans="1:12">
      <c r="A7">
        <v>6</v>
      </c>
      <c r="B7">
        <v>600</v>
      </c>
      <c r="C7">
        <v>30</v>
      </c>
      <c r="D7">
        <v>0</v>
      </c>
      <c r="E7">
        <f>1/COUNT($A$2:$A$11)</f>
        <v>0</v>
      </c>
      <c r="F7">
        <f>IF(B7&gt;600, 1, 0)</f>
        <v>0</v>
      </c>
      <c r="G7">
        <f>IF(F7&lt;&gt;D7, 1, 0)</f>
        <v>0</v>
      </c>
      <c r="H7">
        <f>E7*EXP(IF(G7=1, $L$3, -$L$3))</f>
        <v>0</v>
      </c>
      <c r="I7">
        <f>H7/SUM($H$2:$H$11)</f>
        <v>0</v>
      </c>
    </row>
    <row r="8" spans="1:12">
      <c r="A8">
        <v>7</v>
      </c>
      <c r="B8">
        <v>450</v>
      </c>
      <c r="C8">
        <v>25</v>
      </c>
      <c r="D8">
        <v>0</v>
      </c>
      <c r="E8">
        <f>1/COUNT($A$2:$A$11)</f>
        <v>0</v>
      </c>
      <c r="F8">
        <f>IF(B8&gt;600, 1, 0)</f>
        <v>0</v>
      </c>
      <c r="G8">
        <f>IF(F8&lt;&gt;D8, 1, 0)</f>
        <v>0</v>
      </c>
      <c r="H8">
        <f>E8*EXP(IF(G8=1, $L$3, -$L$3))</f>
        <v>0</v>
      </c>
      <c r="I8">
        <f>H8/SUM($H$2:$H$11)</f>
        <v>0</v>
      </c>
    </row>
    <row r="9" spans="1:12">
      <c r="A9">
        <v>8</v>
      </c>
      <c r="B9">
        <v>900</v>
      </c>
      <c r="C9">
        <v>100</v>
      </c>
      <c r="D9">
        <v>1</v>
      </c>
      <c r="E9">
        <f>1/COUNT($A$2:$A$11)</f>
        <v>0</v>
      </c>
      <c r="F9">
        <f>IF(B9&gt;600, 1, 0)</f>
        <v>0</v>
      </c>
      <c r="G9">
        <f>IF(F9&lt;&gt;D9, 1, 0)</f>
        <v>0</v>
      </c>
      <c r="H9">
        <f>E9*EXP(IF(G9=1, $L$3, -$L$3))</f>
        <v>0</v>
      </c>
      <c r="I9">
        <f>H9/SUM($H$2:$H$11)</f>
        <v>0</v>
      </c>
    </row>
    <row r="10" spans="1:12">
      <c r="A10">
        <v>9</v>
      </c>
      <c r="B10">
        <v>720</v>
      </c>
      <c r="C10">
        <v>20</v>
      </c>
      <c r="D10">
        <v>0</v>
      </c>
      <c r="E10">
        <f>1/COUNT($A$2:$A$11)</f>
        <v>0</v>
      </c>
      <c r="F10">
        <f>IF(B10&gt;600, 1, 0)</f>
        <v>0</v>
      </c>
      <c r="G10">
        <f>IF(F10&lt;&gt;D10, 1, 0)</f>
        <v>0</v>
      </c>
      <c r="H10">
        <f>E10*EXP(IF(G10=1, $L$3, -$L$3))</f>
        <v>0</v>
      </c>
      <c r="I10">
        <f>H10/SUM($H$2:$H$11)</f>
        <v>0</v>
      </c>
    </row>
    <row r="11" spans="1:12">
      <c r="A11">
        <v>10</v>
      </c>
      <c r="B11">
        <v>810</v>
      </c>
      <c r="C11">
        <v>200</v>
      </c>
      <c r="D11">
        <v>1</v>
      </c>
      <c r="E11">
        <f>1/COUNT($A$2:$A$11)</f>
        <v>0</v>
      </c>
      <c r="F11">
        <f>IF(B11&gt;600, 1, 0)</f>
        <v>0</v>
      </c>
      <c r="G11">
        <f>IF(F11&lt;&gt;D11, 1, 0)</f>
        <v>0</v>
      </c>
      <c r="H11">
        <f>E11*EXP(IF(G11=1, $L$3, -$L$3))</f>
        <v>0</v>
      </c>
      <c r="I11">
        <f>H11/SUM($H$2:$H$11)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2025-12-16T12:47:18Z</dcterms:created>
  <dcterms:modified xsi:type="dcterms:W3CDTF">2025-12-16T12:47:18Z</dcterms:modified>
</cp:coreProperties>
</file>